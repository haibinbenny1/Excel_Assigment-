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8_{E1DB5D33-A84F-4C05-8820-4247070AB847}" xr6:coauthVersionLast="47" xr6:coauthVersionMax="47" xr10:uidLastSave="{00000000-0000-0000-0000-000000000000}"/>
  <bookViews>
    <workbookView xWindow="-108" yWindow="-108" windowWidth="23256" windowHeight="13896" activeTab="2" xr2:uid="{00000000-000D-0000-FFFF-FFFF00000000}"/>
  </bookViews>
  <sheets>
    <sheet name="Instructions" sheetId="1" r:id="rId1"/>
    <sheet name="Dataset" sheetId="2" r:id="rId2"/>
    <sheet name="Solutio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xxdYPntQl+bO0ka4qHfhA4BnM4OowOuFpS2wlv4H/kM="/>
    </ext>
  </extLst>
</workbook>
</file>

<file path=xl/calcChain.xml><?xml version="1.0" encoding="utf-8"?>
<calcChain xmlns="http://schemas.openxmlformats.org/spreadsheetml/2006/main">
  <c r="M8" i="3" l="1"/>
  <c r="M9" i="3"/>
  <c r="M7" i="3"/>
  <c r="M3" i="3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2" i="3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2" i="3"/>
  <c r="M6" i="3"/>
  <c r="M5" i="3"/>
  <c r="M4" i="3"/>
</calcChain>
</file>

<file path=xl/sharedStrings.xml><?xml version="1.0" encoding="utf-8"?>
<sst xmlns="http://schemas.openxmlformats.org/spreadsheetml/2006/main" count="312" uniqueCount="121">
  <si>
    <t>Perform the following in the dataset from the 'Dataset' sheet.</t>
  </si>
  <si>
    <t>1) Sum, Count, Average:</t>
  </si>
  <si>
    <t>• What is the total price of all products in the dataset?</t>
  </si>
  <si>
    <t>• How many products are there in the dataset?</t>
  </si>
  <si>
    <t>• Calculate the average price of the products.</t>
  </si>
  <si>
    <t>2) Min and Max:</t>
  </si>
  <si>
    <t>• Determine the minimum price among all products.</t>
  </si>
  <si>
    <t>• Find the maximum price among all products.</t>
  </si>
  <si>
    <t>3) IF Function:</t>
  </si>
  <si>
    <t>• Using an IF function, create a new column named Price Range to categorize products with a price greater than or equal to $500 as 'High Price' and others as 'Standard Price'.</t>
  </si>
  <si>
    <t>4) SUMIF and COUNTIF:</t>
  </si>
  <si>
    <t>• Calculate the total price for products in the 'Electronics' category using the SUMIF function.</t>
  </si>
  <si>
    <t>• Determine the count of products with a price less than $100 using the COUNTIF function.</t>
  </si>
  <si>
    <t>5) Text Formatting - LEFT, RIGHT, MID:</t>
  </si>
  <si>
    <t>• Create a new column named Day with the first 2 characters of each 'Product ID' using the LEFT function.</t>
  </si>
  <si>
    <t>• Create a new column named Country Code by extracting the last 2 characters from the 'Product ID' column using the RIGHT function.</t>
  </si>
  <si>
    <t>• Create a new column named Month by extracting 4th to 6th characters from the 'Product ID' column using the MID function.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</si>
  <si>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</si>
  <si>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</si>
  <si>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</si>
  <si>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</si>
  <si>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</si>
  <si>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</si>
  <si>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</si>
  <si>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</si>
  <si>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</si>
  <si>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</si>
  <si>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</si>
  <si>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</si>
  <si>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</si>
  <si>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</si>
  <si>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</si>
  <si>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</si>
  <si>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</si>
  <si>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</si>
  <si>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</si>
  <si>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</si>
  <si>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</si>
  <si>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</si>
  <si>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</si>
  <si>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</si>
  <si>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</si>
  <si>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</si>
  <si>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</si>
  <si>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</si>
  <si>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</si>
  <si>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</si>
  <si>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</si>
  <si>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</si>
  <si>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</si>
  <si>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</si>
  <si>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</si>
  <si>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</si>
  <si>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</si>
  <si>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</si>
  <si>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</si>
  <si>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</si>
  <si>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</si>
  <si>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</si>
  <si>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</si>
  <si>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</si>
  <si>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</si>
  <si>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</si>
  <si>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</si>
  <si>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</si>
  <si>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</si>
  <si>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</si>
  <si>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</si>
  <si>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</si>
  <si>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</si>
  <si>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</si>
  <si>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</si>
  <si>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</si>
  <si>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</si>
  <si>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</si>
  <si>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</si>
  <si>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</si>
  <si>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</si>
  <si>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</si>
  <si>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</si>
  <si>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</si>
  <si>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</si>
  <si>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</si>
  <si>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</si>
  <si>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</si>
  <si>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</si>
  <si>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</si>
  <si>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</si>
  <si>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</si>
  <si>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</si>
  <si>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</si>
  <si>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</si>
  <si>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</si>
  <si>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</si>
  <si>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</si>
  <si>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</si>
  <si>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</si>
  <si>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</si>
  <si>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</si>
  <si>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</si>
  <si>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</si>
  <si>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</si>
  <si>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</si>
  <si>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</si>
  <si>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</si>
  <si>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</si>
  <si>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</si>
  <si>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</si>
  <si>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</si>
  <si>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</si>
  <si>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Total Products</t>
  </si>
  <si>
    <t xml:space="preserve">Total Price </t>
  </si>
  <si>
    <t>Average Price</t>
  </si>
  <si>
    <t>Minimum Price</t>
  </si>
  <si>
    <t>Maximum Price</t>
  </si>
  <si>
    <t xml:space="preserve">Electronics Total </t>
  </si>
  <si>
    <t>Count Under $100</t>
  </si>
  <si>
    <t xml:space="preserve">Price Range </t>
  </si>
  <si>
    <t>Day</t>
  </si>
  <si>
    <t>Country Code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</si>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</sst>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scheme val="minor"/>
    </font>
    <font>
      <b/>
      <sz val="11"/>
      <color theme="1"/>
      <name val="Arial"/>
    </font>
    <font>
      <b/>
      <sz val="12"/>
      <color theme="1"/>
      <name val="Times New Roman"/>
    </font>
    <font>
      <sz val="12"/>
      <color theme="1"/>
      <name val="Times New Roman"/>
    </font>
    <font>
      <b/>
      <sz val="11"/>
      <color theme="1"/>
      <name val="Calibri"/>
    </font>
    <font>
      <b/>
      <sz val="10"/>
      <color theme="1"/>
      <name val="Arial"/>
    </font>
    <font>
      <sz val="10"/>
      <color theme="1"/>
      <name val="Arial"/>
    </font>
    <font>
      <b/>
      <sz val="10"/>
      <color rgb="FF000000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/>
    <xf numFmtId="0" fontId="6" fillId="3" borderId="0" xfId="0" applyFont="1" applyFill="1"/>
    <xf numFmtId="0" fontId="6" fillId="4" borderId="0" xfId="0" applyFont="1" applyFill="1"/>
    <xf numFmtId="0" fontId="0" fillId="0" borderId="0" xfId="0" applyAlignment="1">
      <alignment horizontal="right"/>
    </xf>
    <xf numFmtId="0" fontId="6" fillId="0" borderId="0" xfId="0" applyFont="1" applyAlignment="1">
      <alignment horizontal="right"/>
    </xf>
    <xf numFmtId="0" fontId="6" fillId="3" borderId="0" xfId="0" applyFont="1" applyFill="1" applyAlignment="1">
      <alignment horizontal="right"/>
    </xf>
    <xf numFmtId="0" fontId="6" fillId="0" borderId="0" xfId="0" applyFont="1" applyAlignment="1">
      <alignment horizontal="center"/>
    </xf>
    <xf numFmtId="0" fontId="6" fillId="3" borderId="0" xfId="0" applyFont="1" applyFill="1" applyAlignment="1">
      <alignment horizontal="center"/>
    </xf>
    <xf numFmtId="0" fontId="7" fillId="0" borderId="1" xfId="0" applyFont="1" applyBorder="1"/>
    <xf numFmtId="0" fontId="0" fillId="0" borderId="1" xfId="0" applyBorder="1" applyAlignment="1">
      <alignment horizontal="right"/>
    </xf>
    <xf numFmtId="0" fontId="6" fillId="0" borderId="0" xfId="0" applyFont="1" applyAlignment="1">
      <alignment horizontal="left"/>
    </xf>
    <xf numFmtId="0" fontId="6" fillId="3" borderId="0" xfId="0" applyFont="1" applyFill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1000"/>
  <sheetViews>
    <sheetView showGridLines="0" workbookViewId="0"/>
  </sheetViews>
  <sheetFormatPr defaultColWidth="12.6640625" defaultRowHeight="15" customHeight="1" x14ac:dyDescent="0.25"/>
  <cols>
    <col min="1" max="1" width="12.6640625" customWidth="1"/>
    <col min="2" max="2" width="7.44140625" customWidth="1"/>
    <col min="3" max="6" width="12.6640625" customWidth="1"/>
  </cols>
  <sheetData>
    <row r="1" spans="1:3" ht="15.75" customHeight="1" x14ac:dyDescent="0.25">
      <c r="A1" s="1" t="s">
        <v>0</v>
      </c>
    </row>
    <row r="2" spans="1:3" ht="15.75" customHeight="1" x14ac:dyDescent="0.25"/>
    <row r="3" spans="1:3" ht="15.75" customHeight="1" x14ac:dyDescent="0.3">
      <c r="B3" s="2" t="s">
        <v>1</v>
      </c>
    </row>
    <row r="4" spans="1:3" ht="15.75" customHeight="1" x14ac:dyDescent="0.3">
      <c r="B4" s="2"/>
      <c r="C4" s="3" t="s">
        <v>2</v>
      </c>
    </row>
    <row r="5" spans="1:3" ht="15.75" customHeight="1" x14ac:dyDescent="0.3">
      <c r="B5" s="2"/>
      <c r="C5" s="3" t="s">
        <v>3</v>
      </c>
    </row>
    <row r="6" spans="1:3" ht="15.75" customHeight="1" x14ac:dyDescent="0.3">
      <c r="B6" s="2"/>
      <c r="C6" s="3" t="s">
        <v>4</v>
      </c>
    </row>
    <row r="7" spans="1:3" ht="15.75" customHeight="1" x14ac:dyDescent="0.3">
      <c r="B7" s="4"/>
    </row>
    <row r="8" spans="1:3" ht="15.75" customHeight="1" x14ac:dyDescent="0.3">
      <c r="B8" s="2" t="s">
        <v>5</v>
      </c>
    </row>
    <row r="9" spans="1:3" ht="15.75" customHeight="1" x14ac:dyDescent="0.3">
      <c r="C9" s="3" t="s">
        <v>6</v>
      </c>
    </row>
    <row r="10" spans="1:3" ht="15.75" customHeight="1" x14ac:dyDescent="0.3">
      <c r="C10" s="3" t="s">
        <v>7</v>
      </c>
    </row>
    <row r="11" spans="1:3" ht="15.75" customHeight="1" x14ac:dyDescent="0.3">
      <c r="B11" s="4"/>
    </row>
    <row r="12" spans="1:3" ht="15.75" customHeight="1" x14ac:dyDescent="0.3">
      <c r="B12" s="2" t="s">
        <v>8</v>
      </c>
    </row>
    <row r="13" spans="1:3" ht="15.75" customHeight="1" x14ac:dyDescent="0.3">
      <c r="C13" s="3" t="s">
        <v>9</v>
      </c>
    </row>
    <row r="14" spans="1:3" ht="15.75" customHeight="1" x14ac:dyDescent="0.3">
      <c r="B14" s="4"/>
    </row>
    <row r="15" spans="1:3" ht="15.75" customHeight="1" x14ac:dyDescent="0.3">
      <c r="B15" s="2" t="s">
        <v>10</v>
      </c>
    </row>
    <row r="16" spans="1:3" ht="15.75" customHeight="1" x14ac:dyDescent="0.3">
      <c r="C16" s="3" t="s">
        <v>11</v>
      </c>
    </row>
    <row r="17" spans="2:3" ht="15.75" customHeight="1" x14ac:dyDescent="0.3">
      <c r="C17" s="3" t="s">
        <v>12</v>
      </c>
    </row>
    <row r="18" spans="2:3" ht="15.75" customHeight="1" x14ac:dyDescent="0.3">
      <c r="B18" s="4"/>
    </row>
    <row r="19" spans="2:3" ht="15.75" customHeight="1" x14ac:dyDescent="0.3">
      <c r="B19" s="2" t="s">
        <v>13</v>
      </c>
    </row>
    <row r="20" spans="2:3" ht="15.75" customHeight="1" x14ac:dyDescent="0.3">
      <c r="C20" s="3" t="s">
        <v>14</v>
      </c>
    </row>
    <row r="21" spans="2:3" ht="15.75" customHeight="1" x14ac:dyDescent="0.3">
      <c r="C21" s="3" t="s">
        <v>15</v>
      </c>
    </row>
    <row r="22" spans="2:3" ht="15.75" customHeight="1" x14ac:dyDescent="0.3">
      <c r="C22" s="3" t="s">
        <v>16</v>
      </c>
    </row>
    <row r="23" spans="2:3" ht="15.75" customHeight="1" x14ac:dyDescent="0.3">
      <c r="B23" s="4"/>
    </row>
    <row r="24" spans="2:3" ht="15.75" customHeight="1" x14ac:dyDescent="0.25"/>
    <row r="25" spans="2:3" ht="15.75" customHeight="1" x14ac:dyDescent="0.25"/>
    <row r="26" spans="2:3" ht="15.75" customHeight="1" x14ac:dyDescent="0.25"/>
    <row r="27" spans="2:3" ht="15.75" customHeight="1" x14ac:dyDescent="0.25"/>
    <row r="28" spans="2:3" ht="15.75" customHeight="1" x14ac:dyDescent="0.25"/>
    <row r="29" spans="2:3" ht="15.75" customHeight="1" x14ac:dyDescent="0.25"/>
    <row r="30" spans="2:3" ht="15.75" customHeight="1" x14ac:dyDescent="0.25"/>
    <row r="31" spans="2:3" ht="15.75" customHeight="1" x14ac:dyDescent="0.25"/>
    <row r="32" spans="2:3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G1000"/>
  <sheetViews>
    <sheetView workbookViewId="0">
      <selection sqref="A1:F35"/>
    </sheetView>
  </sheetViews>
  <sheetFormatPr defaultColWidth="12.6640625" defaultRowHeight="15" customHeight="1" x14ac:dyDescent="0.25"/>
  <cols>
    <col min="1" max="1" width="12.6640625" customWidth="1"/>
    <col min="2" max="2" width="14.109375" customWidth="1"/>
    <col min="3" max="6" width="12.6640625" customWidth="1"/>
  </cols>
  <sheetData>
    <row r="1" spans="1:7" ht="15.75" customHeight="1" x14ac:dyDescent="0.25">
      <c r="A1" s="5" t="s">
        <v>17</v>
      </c>
      <c r="B1" s="5" t="s">
        <v>18</v>
      </c>
      <c r="C1" s="5" t="s">
        <v>19</v>
      </c>
      <c r="D1" s="5" t="s">
        <v>20</v>
      </c>
      <c r="E1" s="5" t="s">
        <v>21</v>
      </c>
      <c r="F1" s="5" t="s">
        <v>22</v>
      </c>
      <c r="G1" s="6"/>
    </row>
    <row r="2" spans="1:7" ht="15.75" customHeight="1" x14ac:dyDescent="0.25">
      <c r="A2" s="7" t="s">
        <v>23</v>
      </c>
      <c r="B2" s="7" t="s">
        <v>24</v>
      </c>
      <c r="C2" s="7" t="s">
        <v>25</v>
      </c>
      <c r="D2" s="7">
        <v>1000</v>
      </c>
      <c r="E2" s="7">
        <v>30</v>
      </c>
      <c r="F2" s="7" t="s">
        <v>26</v>
      </c>
      <c r="G2" s="7"/>
    </row>
    <row r="3" spans="1:7" ht="15.75" customHeight="1" x14ac:dyDescent="0.25">
      <c r="A3" s="8" t="s">
        <v>27</v>
      </c>
      <c r="B3" s="8" t="s">
        <v>28</v>
      </c>
      <c r="C3" s="8" t="s">
        <v>29</v>
      </c>
      <c r="D3" s="8">
        <v>80</v>
      </c>
      <c r="E3" s="8">
        <v>15</v>
      </c>
      <c r="F3" s="8" t="s">
        <v>30</v>
      </c>
      <c r="G3" s="7"/>
    </row>
    <row r="4" spans="1:7" ht="15.75" customHeight="1" x14ac:dyDescent="0.25">
      <c r="A4" s="7" t="s">
        <v>31</v>
      </c>
      <c r="B4" s="7" t="s">
        <v>32</v>
      </c>
      <c r="C4" s="7" t="s">
        <v>33</v>
      </c>
      <c r="D4" s="7">
        <v>130</v>
      </c>
      <c r="E4" s="7">
        <v>40</v>
      </c>
      <c r="F4" s="7" t="s">
        <v>34</v>
      </c>
      <c r="G4" s="7"/>
    </row>
    <row r="5" spans="1:7" ht="15.75" customHeight="1" x14ac:dyDescent="0.25">
      <c r="A5" s="8" t="s">
        <v>35</v>
      </c>
      <c r="B5" s="8" t="s">
        <v>36</v>
      </c>
      <c r="C5" s="8" t="s">
        <v>37</v>
      </c>
      <c r="D5" s="8">
        <v>900</v>
      </c>
      <c r="E5" s="8">
        <v>25</v>
      </c>
      <c r="F5" s="8" t="s">
        <v>26</v>
      </c>
      <c r="G5" s="7"/>
    </row>
    <row r="6" spans="1:7" ht="15.75" customHeight="1" x14ac:dyDescent="0.25">
      <c r="A6" s="7" t="s">
        <v>38</v>
      </c>
      <c r="B6" s="7" t="s">
        <v>39</v>
      </c>
      <c r="C6" s="7" t="s">
        <v>40</v>
      </c>
      <c r="D6" s="7">
        <v>70</v>
      </c>
      <c r="E6" s="7">
        <v>20</v>
      </c>
      <c r="F6" s="7" t="s">
        <v>41</v>
      </c>
      <c r="G6" s="7"/>
    </row>
    <row r="7" spans="1:7" ht="15.75" customHeight="1" x14ac:dyDescent="0.25">
      <c r="A7" s="8" t="s">
        <v>42</v>
      </c>
      <c r="B7" s="8" t="s">
        <v>43</v>
      </c>
      <c r="C7" s="8" t="s">
        <v>44</v>
      </c>
      <c r="D7" s="8">
        <v>200</v>
      </c>
      <c r="E7" s="8">
        <v>45</v>
      </c>
      <c r="F7" s="8" t="s">
        <v>26</v>
      </c>
      <c r="G7" s="7"/>
    </row>
    <row r="8" spans="1:7" ht="15.75" customHeight="1" x14ac:dyDescent="0.25">
      <c r="A8" s="7" t="s">
        <v>45</v>
      </c>
      <c r="B8" s="7" t="s">
        <v>46</v>
      </c>
      <c r="C8" s="7" t="s">
        <v>47</v>
      </c>
      <c r="D8" s="7">
        <v>30</v>
      </c>
      <c r="E8" s="7">
        <v>5</v>
      </c>
      <c r="F8" s="7" t="s">
        <v>30</v>
      </c>
      <c r="G8" s="7"/>
    </row>
    <row r="9" spans="1:7" ht="15.75" customHeight="1" x14ac:dyDescent="0.25">
      <c r="A9" s="8" t="s">
        <v>48</v>
      </c>
      <c r="B9" s="8" t="s">
        <v>49</v>
      </c>
      <c r="C9" s="8" t="s">
        <v>50</v>
      </c>
      <c r="D9" s="8">
        <v>90</v>
      </c>
      <c r="E9" s="8">
        <v>35</v>
      </c>
      <c r="F9" s="8" t="s">
        <v>34</v>
      </c>
      <c r="G9" s="7"/>
    </row>
    <row r="10" spans="1:7" ht="15.75" customHeight="1" x14ac:dyDescent="0.25">
      <c r="A10" s="7" t="s">
        <v>51</v>
      </c>
      <c r="B10" s="7" t="s">
        <v>52</v>
      </c>
      <c r="C10" s="7" t="s">
        <v>53</v>
      </c>
      <c r="D10" s="7">
        <v>500</v>
      </c>
      <c r="E10" s="7">
        <v>50</v>
      </c>
      <c r="F10" s="7" t="s">
        <v>26</v>
      </c>
      <c r="G10" s="7"/>
    </row>
    <row r="11" spans="1:7" ht="15.75" customHeight="1" x14ac:dyDescent="0.25">
      <c r="A11" s="8" t="s">
        <v>54</v>
      </c>
      <c r="B11" s="8" t="s">
        <v>55</v>
      </c>
      <c r="C11" s="8" t="s">
        <v>56</v>
      </c>
      <c r="D11" s="8">
        <v>130</v>
      </c>
      <c r="E11" s="8">
        <v>10</v>
      </c>
      <c r="F11" s="8" t="s">
        <v>41</v>
      </c>
      <c r="G11" s="7"/>
    </row>
    <row r="12" spans="1:7" ht="15.75" customHeight="1" x14ac:dyDescent="0.25">
      <c r="A12" s="7" t="s">
        <v>57</v>
      </c>
      <c r="B12" s="7" t="s">
        <v>24</v>
      </c>
      <c r="C12" s="7" t="s">
        <v>58</v>
      </c>
      <c r="D12" s="7">
        <v>950</v>
      </c>
      <c r="E12" s="7">
        <v>25</v>
      </c>
      <c r="F12" s="7" t="s">
        <v>26</v>
      </c>
      <c r="G12" s="7"/>
    </row>
    <row r="13" spans="1:7" ht="15.75" customHeight="1" x14ac:dyDescent="0.25">
      <c r="A13" s="8" t="s">
        <v>59</v>
      </c>
      <c r="B13" s="8" t="s">
        <v>28</v>
      </c>
      <c r="C13" s="8" t="s">
        <v>47</v>
      </c>
      <c r="D13" s="8">
        <v>90</v>
      </c>
      <c r="E13" s="8">
        <v>40</v>
      </c>
      <c r="F13" s="8" t="s">
        <v>30</v>
      </c>
      <c r="G13" s="7"/>
    </row>
    <row r="14" spans="1:7" ht="15.75" customHeight="1" x14ac:dyDescent="0.25">
      <c r="A14" s="7" t="s">
        <v>60</v>
      </c>
      <c r="B14" s="7" t="s">
        <v>32</v>
      </c>
      <c r="C14" s="7" t="s">
        <v>61</v>
      </c>
      <c r="D14" s="7">
        <v>120</v>
      </c>
      <c r="E14" s="7">
        <v>35</v>
      </c>
      <c r="F14" s="7" t="s">
        <v>34</v>
      </c>
      <c r="G14" s="7"/>
    </row>
    <row r="15" spans="1:7" ht="15.75" customHeight="1" x14ac:dyDescent="0.25">
      <c r="A15" s="8" t="s">
        <v>62</v>
      </c>
      <c r="B15" s="8" t="s">
        <v>63</v>
      </c>
      <c r="C15" s="8" t="s">
        <v>64</v>
      </c>
      <c r="D15" s="8">
        <v>150</v>
      </c>
      <c r="E15" s="8">
        <v>15</v>
      </c>
      <c r="F15" s="8" t="s">
        <v>26</v>
      </c>
      <c r="G15" s="7"/>
    </row>
    <row r="16" spans="1:7" ht="15.75" customHeight="1" x14ac:dyDescent="0.25">
      <c r="A16" s="7" t="s">
        <v>65</v>
      </c>
      <c r="B16" s="7" t="s">
        <v>43</v>
      </c>
      <c r="C16" s="7" t="s">
        <v>66</v>
      </c>
      <c r="D16" s="7">
        <v>250</v>
      </c>
      <c r="E16" s="7">
        <v>20</v>
      </c>
      <c r="F16" s="7" t="s">
        <v>26</v>
      </c>
      <c r="G16" s="7"/>
    </row>
    <row r="17" spans="1:7" ht="15.75" customHeight="1" x14ac:dyDescent="0.25">
      <c r="A17" s="8" t="s">
        <v>67</v>
      </c>
      <c r="B17" s="8" t="s">
        <v>68</v>
      </c>
      <c r="C17" s="8" t="s">
        <v>69</v>
      </c>
      <c r="D17" s="8">
        <v>50</v>
      </c>
      <c r="E17" s="8">
        <v>35</v>
      </c>
      <c r="F17" s="8" t="s">
        <v>70</v>
      </c>
      <c r="G17" s="7"/>
    </row>
    <row r="18" spans="1:7" ht="15.75" customHeight="1" x14ac:dyDescent="0.25">
      <c r="A18" s="7" t="s">
        <v>71</v>
      </c>
      <c r="B18" s="7" t="s">
        <v>63</v>
      </c>
      <c r="C18" s="7" t="s">
        <v>72</v>
      </c>
      <c r="D18" s="7">
        <v>160</v>
      </c>
      <c r="E18" s="7">
        <v>15</v>
      </c>
      <c r="F18" s="7" t="s">
        <v>26</v>
      </c>
      <c r="G18" s="7"/>
    </row>
    <row r="19" spans="1:7" ht="15.75" customHeight="1" x14ac:dyDescent="0.25">
      <c r="A19" s="8" t="s">
        <v>73</v>
      </c>
      <c r="B19" s="8" t="s">
        <v>24</v>
      </c>
      <c r="C19" s="8" t="s">
        <v>74</v>
      </c>
      <c r="D19" s="8">
        <v>980</v>
      </c>
      <c r="E19" s="8">
        <v>10</v>
      </c>
      <c r="F19" s="8" t="s">
        <v>26</v>
      </c>
      <c r="G19" s="7"/>
    </row>
    <row r="20" spans="1:7" ht="15.75" customHeight="1" x14ac:dyDescent="0.25">
      <c r="A20" s="7" t="s">
        <v>75</v>
      </c>
      <c r="B20" s="7" t="s">
        <v>76</v>
      </c>
      <c r="C20" s="7" t="s">
        <v>77</v>
      </c>
      <c r="D20" s="7">
        <v>150</v>
      </c>
      <c r="E20" s="7">
        <v>15</v>
      </c>
      <c r="F20" s="7" t="s">
        <v>30</v>
      </c>
      <c r="G20" s="7"/>
    </row>
    <row r="21" spans="1:7" ht="15.75" customHeight="1" x14ac:dyDescent="0.25">
      <c r="A21" s="8" t="s">
        <v>78</v>
      </c>
      <c r="B21" s="8" t="s">
        <v>79</v>
      </c>
      <c r="C21" s="8" t="s">
        <v>80</v>
      </c>
      <c r="D21" s="8">
        <v>200</v>
      </c>
      <c r="E21" s="8">
        <v>10</v>
      </c>
      <c r="F21" s="8" t="s">
        <v>41</v>
      </c>
      <c r="G21" s="7"/>
    </row>
    <row r="22" spans="1:7" ht="15.75" customHeight="1" x14ac:dyDescent="0.25">
      <c r="A22" s="7" t="s">
        <v>81</v>
      </c>
      <c r="B22" s="7" t="s">
        <v>82</v>
      </c>
      <c r="C22" s="7" t="s">
        <v>83</v>
      </c>
      <c r="D22" s="7">
        <v>700</v>
      </c>
      <c r="E22" s="7">
        <v>50</v>
      </c>
      <c r="F22" s="7" t="s">
        <v>26</v>
      </c>
      <c r="G22" s="7"/>
    </row>
    <row r="23" spans="1:7" ht="15.75" customHeight="1" x14ac:dyDescent="0.25">
      <c r="A23" s="8" t="s">
        <v>84</v>
      </c>
      <c r="B23" s="8" t="s">
        <v>85</v>
      </c>
      <c r="C23" s="8" t="s">
        <v>86</v>
      </c>
      <c r="D23" s="8">
        <v>80</v>
      </c>
      <c r="E23" s="8">
        <v>20</v>
      </c>
      <c r="F23" s="8" t="s">
        <v>34</v>
      </c>
      <c r="G23" s="7"/>
    </row>
    <row r="24" spans="1:7" ht="15.75" customHeight="1" x14ac:dyDescent="0.25">
      <c r="A24" s="7" t="s">
        <v>87</v>
      </c>
      <c r="B24" s="7" t="s">
        <v>88</v>
      </c>
      <c r="C24" s="7" t="s">
        <v>89</v>
      </c>
      <c r="D24" s="7">
        <v>150</v>
      </c>
      <c r="E24" s="7">
        <v>30</v>
      </c>
      <c r="F24" s="7" t="s">
        <v>26</v>
      </c>
      <c r="G24" s="7"/>
    </row>
    <row r="25" spans="1:7" ht="15.75" customHeight="1" x14ac:dyDescent="0.25">
      <c r="A25" s="8" t="s">
        <v>67</v>
      </c>
      <c r="B25" s="8" t="s">
        <v>68</v>
      </c>
      <c r="C25" s="8" t="s">
        <v>69</v>
      </c>
      <c r="D25" s="8">
        <v>50</v>
      </c>
      <c r="E25" s="8">
        <v>35</v>
      </c>
      <c r="F25" s="8" t="s">
        <v>70</v>
      </c>
      <c r="G25" s="9"/>
    </row>
    <row r="26" spans="1:7" ht="15.75" customHeight="1" x14ac:dyDescent="0.25">
      <c r="A26" s="7" t="s">
        <v>90</v>
      </c>
      <c r="B26" s="7" t="s">
        <v>36</v>
      </c>
      <c r="C26" s="7" t="s">
        <v>91</v>
      </c>
      <c r="D26" s="7">
        <v>800</v>
      </c>
      <c r="E26" s="7">
        <v>45</v>
      </c>
      <c r="F26" s="7" t="s">
        <v>26</v>
      </c>
      <c r="G26" s="7"/>
    </row>
    <row r="27" spans="1:7" ht="15.75" customHeight="1" x14ac:dyDescent="0.25">
      <c r="A27" s="8" t="s">
        <v>92</v>
      </c>
      <c r="B27" s="8" t="s">
        <v>76</v>
      </c>
      <c r="C27" s="8" t="s">
        <v>93</v>
      </c>
      <c r="D27" s="8">
        <v>130</v>
      </c>
      <c r="E27" s="8">
        <v>25</v>
      </c>
      <c r="F27" s="8" t="s">
        <v>30</v>
      </c>
      <c r="G27" s="7"/>
    </row>
    <row r="28" spans="1:7" ht="15.75" customHeight="1" x14ac:dyDescent="0.25">
      <c r="A28" s="7" t="s">
        <v>94</v>
      </c>
      <c r="B28" s="7" t="s">
        <v>49</v>
      </c>
      <c r="C28" s="7" t="s">
        <v>95</v>
      </c>
      <c r="D28" s="7">
        <v>400</v>
      </c>
      <c r="E28" s="7">
        <v>40</v>
      </c>
      <c r="F28" s="7" t="s">
        <v>34</v>
      </c>
      <c r="G28" s="7"/>
    </row>
    <row r="29" spans="1:7" ht="15.75" customHeight="1" x14ac:dyDescent="0.25">
      <c r="A29" s="8" t="s">
        <v>65</v>
      </c>
      <c r="B29" s="8" t="s">
        <v>43</v>
      </c>
      <c r="C29" s="8" t="s">
        <v>66</v>
      </c>
      <c r="D29" s="8">
        <v>230</v>
      </c>
      <c r="E29" s="8">
        <v>20</v>
      </c>
      <c r="F29" s="8" t="s">
        <v>26</v>
      </c>
      <c r="G29" s="9"/>
    </row>
    <row r="30" spans="1:7" ht="15.75" customHeight="1" x14ac:dyDescent="0.25">
      <c r="A30" s="7" t="s">
        <v>96</v>
      </c>
      <c r="B30" s="7" t="s">
        <v>97</v>
      </c>
      <c r="C30" s="7" t="s">
        <v>98</v>
      </c>
      <c r="D30" s="7">
        <v>60</v>
      </c>
      <c r="E30" s="7">
        <v>30</v>
      </c>
      <c r="F30" s="7" t="s">
        <v>30</v>
      </c>
      <c r="G30" s="7"/>
    </row>
    <row r="31" spans="1:7" ht="15.75" customHeight="1" x14ac:dyDescent="0.25">
      <c r="A31" s="8" t="s">
        <v>99</v>
      </c>
      <c r="B31" s="8" t="s">
        <v>100</v>
      </c>
      <c r="C31" s="8" t="s">
        <v>101</v>
      </c>
      <c r="D31" s="8">
        <v>40</v>
      </c>
      <c r="E31" s="8">
        <v>10</v>
      </c>
      <c r="F31" s="8" t="s">
        <v>34</v>
      </c>
      <c r="G31" s="7"/>
    </row>
    <row r="32" spans="1:7" ht="15.75" customHeight="1" x14ac:dyDescent="0.25">
      <c r="A32" s="7" t="s">
        <v>102</v>
      </c>
      <c r="B32" s="7" t="s">
        <v>88</v>
      </c>
      <c r="C32" s="7" t="s">
        <v>103</v>
      </c>
      <c r="D32" s="7">
        <v>130</v>
      </c>
      <c r="E32" s="7">
        <v>5</v>
      </c>
      <c r="F32" s="7" t="s">
        <v>26</v>
      </c>
      <c r="G32" s="7"/>
    </row>
    <row r="33" spans="1:7" ht="15.75" customHeight="1" x14ac:dyDescent="0.25">
      <c r="A33" s="8" t="s">
        <v>104</v>
      </c>
      <c r="B33" s="8" t="s">
        <v>105</v>
      </c>
      <c r="C33" s="8" t="s">
        <v>106</v>
      </c>
      <c r="D33" s="8">
        <v>50</v>
      </c>
      <c r="E33" s="8">
        <v>50</v>
      </c>
      <c r="F33" s="8" t="s">
        <v>30</v>
      </c>
      <c r="G33" s="7"/>
    </row>
    <row r="34" spans="1:7" ht="15.75" customHeight="1" x14ac:dyDescent="0.25">
      <c r="A34" s="7" t="s">
        <v>57</v>
      </c>
      <c r="B34" s="7" t="s">
        <v>24</v>
      </c>
      <c r="C34" s="7" t="s">
        <v>58</v>
      </c>
      <c r="D34" s="7">
        <v>950</v>
      </c>
      <c r="E34" s="7">
        <v>25</v>
      </c>
      <c r="F34" s="7" t="s">
        <v>26</v>
      </c>
      <c r="G34" s="7"/>
    </row>
    <row r="35" spans="1:7" ht="15.75" customHeight="1" x14ac:dyDescent="0.25">
      <c r="A35" s="8" t="s">
        <v>107</v>
      </c>
      <c r="B35" s="8" t="s">
        <v>108</v>
      </c>
      <c r="C35" s="8" t="s">
        <v>109</v>
      </c>
      <c r="D35" s="8">
        <v>100</v>
      </c>
      <c r="E35" s="8">
        <v>20</v>
      </c>
      <c r="F35" s="8" t="s">
        <v>70</v>
      </c>
      <c r="G35" s="7"/>
    </row>
    <row r="36" spans="1:7" ht="15.75" customHeight="1" x14ac:dyDescent="0.25"/>
    <row r="37" spans="1:7" ht="15.75" customHeight="1" x14ac:dyDescent="0.25"/>
    <row r="38" spans="1:7" ht="15.75" customHeight="1" x14ac:dyDescent="0.25"/>
    <row r="39" spans="1:7" ht="15.75" customHeight="1" x14ac:dyDescent="0.25"/>
    <row r="40" spans="1:7" ht="15.75" customHeight="1" x14ac:dyDescent="0.25"/>
    <row r="41" spans="1:7" ht="15.75" customHeight="1" x14ac:dyDescent="0.25"/>
    <row r="42" spans="1:7" ht="15.75" customHeight="1" x14ac:dyDescent="0.25"/>
    <row r="43" spans="1:7" ht="15.75" customHeight="1" x14ac:dyDescent="0.25"/>
    <row r="44" spans="1:7" ht="15.75" customHeight="1" x14ac:dyDescent="0.25"/>
    <row r="45" spans="1:7" ht="15.75" customHeight="1" x14ac:dyDescent="0.25"/>
    <row r="46" spans="1:7" ht="15.75" customHeight="1" x14ac:dyDescent="0.25"/>
    <row r="47" spans="1:7" ht="15.75" customHeight="1" x14ac:dyDescent="0.25"/>
    <row r="48" spans="1:7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ED2696-9535-4DEE-8A0C-47F0C48BA863}">
  <dimension ref="A1:M35"/>
  <sheetViews>
    <sheetView tabSelected="1" topLeftCell="A10" zoomScale="110" zoomScaleNormal="110" workbookViewId="0">
      <selection activeCell="I2" sqref="I2:J35"/>
    </sheetView>
  </sheetViews>
  <sheetFormatPr defaultRowHeight="13.2" x14ac:dyDescent="0.25"/>
  <cols>
    <col min="1" max="1" width="17.88671875" customWidth="1"/>
    <col min="2" max="2" width="16.44140625" customWidth="1"/>
    <col min="3" max="3" width="15.6640625" customWidth="1"/>
    <col min="4" max="4" width="12.109375" customWidth="1"/>
    <col min="5" max="5" width="13.109375" customWidth="1"/>
    <col min="6" max="6" width="16.77734375" customWidth="1"/>
    <col min="7" max="7" width="19.109375" customWidth="1"/>
    <col min="8" max="8" width="11.33203125" customWidth="1"/>
    <col min="9" max="9" width="12.77734375" customWidth="1"/>
    <col min="10" max="10" width="12.6640625" customWidth="1"/>
    <col min="12" max="12" width="18.77734375" customWidth="1"/>
    <col min="13" max="13" width="15.88671875" bestFit="1" customWidth="1"/>
    <col min="14" max="14" width="11.6640625" customWidth="1"/>
  </cols>
  <sheetData>
    <row r="1" spans="1:13" x14ac:dyDescent="0.25">
      <c r="A1" s="5" t="s">
        <v>17</v>
      </c>
      <c r="B1" s="5" t="s">
        <v>18</v>
      </c>
      <c r="C1" s="5" t="s">
        <v>19</v>
      </c>
      <c r="D1" s="5" t="s">
        <v>20</v>
      </c>
      <c r="E1" s="5" t="s">
        <v>21</v>
      </c>
      <c r="F1" s="5" t="s">
        <v>22</v>
      </c>
      <c r="G1" s="5" t="s">
        <v>117</v>
      </c>
      <c r="H1" s="5" t="s">
        <v>118</v>
      </c>
      <c r="I1" s="5" t="s">
        <v>119</v>
      </c>
      <c r="J1" s="5" t="s">
        <v>120</v>
      </c>
    </row>
    <row r="2" spans="1:13" x14ac:dyDescent="0.25">
      <c r="A2" s="13" t="s">
        <v>23</v>
      </c>
      <c r="B2" s="17" t="s">
        <v>24</v>
      </c>
      <c r="C2" s="17" t="s">
        <v>25</v>
      </c>
      <c r="D2" s="11">
        <v>1000</v>
      </c>
      <c r="E2" s="11">
        <v>30</v>
      </c>
      <c r="F2" s="17" t="s">
        <v>26</v>
      </c>
      <c r="G2" s="19" t="str">
        <f>IF(D2&gt;=500,"High Price","Standard Price")</f>
        <v>High Price</v>
      </c>
      <c r="H2" s="10" t="str">
        <f>LEFT(A2,2)</f>
        <v>28</v>
      </c>
      <c r="I2" s="19" t="str">
        <f>RIGHT(A2,2)</f>
        <v>US</v>
      </c>
      <c r="J2" s="19" t="str">
        <f>MID(A2,4,3)</f>
        <v>JAN</v>
      </c>
    </row>
    <row r="3" spans="1:13" x14ac:dyDescent="0.25">
      <c r="A3" s="14" t="s">
        <v>27</v>
      </c>
      <c r="B3" s="18" t="s">
        <v>28</v>
      </c>
      <c r="C3" s="18" t="s">
        <v>29</v>
      </c>
      <c r="D3" s="12">
        <v>80</v>
      </c>
      <c r="E3" s="12">
        <v>15</v>
      </c>
      <c r="F3" s="18" t="s">
        <v>30</v>
      </c>
      <c r="G3" s="19" t="str">
        <f t="shared" ref="G3:G35" si="0">IF(D3&gt;=500,"High Price","Standard Price")</f>
        <v>Standard Price</v>
      </c>
      <c r="H3" s="10" t="str">
        <f t="shared" ref="H3:H35" si="1">LEFT(A3,2)</f>
        <v>15</v>
      </c>
      <c r="I3" s="19" t="str">
        <f t="shared" ref="I3:I35" si="2">RIGHT(A3,2)</f>
        <v>US</v>
      </c>
      <c r="J3" s="19" t="str">
        <f t="shared" ref="J3:J35" si="3">MID(A3,4,3)</f>
        <v>FEB</v>
      </c>
      <c r="L3" s="15" t="s">
        <v>111</v>
      </c>
      <c r="M3" s="16">
        <f>SUM(D2:D35)</f>
        <v>10100</v>
      </c>
    </row>
    <row r="4" spans="1:13" x14ac:dyDescent="0.25">
      <c r="A4" s="13" t="s">
        <v>31</v>
      </c>
      <c r="B4" s="17" t="s">
        <v>32</v>
      </c>
      <c r="C4" s="17" t="s">
        <v>33</v>
      </c>
      <c r="D4" s="11">
        <v>130</v>
      </c>
      <c r="E4" s="11">
        <v>40</v>
      </c>
      <c r="F4" s="17" t="s">
        <v>34</v>
      </c>
      <c r="G4" s="19" t="str">
        <f t="shared" si="0"/>
        <v>Standard Price</v>
      </c>
      <c r="H4" s="10" t="str">
        <f t="shared" si="1"/>
        <v>03</v>
      </c>
      <c r="I4" s="19" t="str">
        <f t="shared" si="2"/>
        <v>US</v>
      </c>
      <c r="J4" s="19" t="str">
        <f t="shared" si="3"/>
        <v>MAR</v>
      </c>
      <c r="L4" s="15" t="s">
        <v>110</v>
      </c>
      <c r="M4" s="16">
        <f>COUNTA(B2:B35)</f>
        <v>34</v>
      </c>
    </row>
    <row r="5" spans="1:13" x14ac:dyDescent="0.25">
      <c r="A5" s="14" t="s">
        <v>35</v>
      </c>
      <c r="B5" s="18" t="s">
        <v>36</v>
      </c>
      <c r="C5" s="18" t="s">
        <v>37</v>
      </c>
      <c r="D5" s="12">
        <v>900</v>
      </c>
      <c r="E5" s="12">
        <v>25</v>
      </c>
      <c r="F5" s="18" t="s">
        <v>26</v>
      </c>
      <c r="G5" s="19" t="str">
        <f t="shared" si="0"/>
        <v>High Price</v>
      </c>
      <c r="H5" s="10" t="str">
        <f t="shared" si="1"/>
        <v>11</v>
      </c>
      <c r="I5" s="19" t="str">
        <f t="shared" si="2"/>
        <v>US</v>
      </c>
      <c r="J5" s="19" t="str">
        <f t="shared" si="3"/>
        <v>APR</v>
      </c>
      <c r="L5" s="15" t="s">
        <v>112</v>
      </c>
      <c r="M5" s="16">
        <f>AVERAGE(D2:D35)</f>
        <v>297.05882352941177</v>
      </c>
    </row>
    <row r="6" spans="1:13" x14ac:dyDescent="0.25">
      <c r="A6" s="13" t="s">
        <v>38</v>
      </c>
      <c r="B6" s="17" t="s">
        <v>39</v>
      </c>
      <c r="C6" s="17" t="s">
        <v>40</v>
      </c>
      <c r="D6" s="11">
        <v>70</v>
      </c>
      <c r="E6" s="11">
        <v>20</v>
      </c>
      <c r="F6" s="17" t="s">
        <v>41</v>
      </c>
      <c r="G6" s="19" t="str">
        <f t="shared" si="0"/>
        <v>Standard Price</v>
      </c>
      <c r="H6" s="10" t="str">
        <f t="shared" si="1"/>
        <v>22</v>
      </c>
      <c r="I6" s="19" t="str">
        <f t="shared" si="2"/>
        <v>US</v>
      </c>
      <c r="J6" s="19" t="str">
        <f t="shared" si="3"/>
        <v>MAY</v>
      </c>
      <c r="L6" s="15" t="s">
        <v>113</v>
      </c>
      <c r="M6" s="16">
        <f>MIN(D2:D35)</f>
        <v>30</v>
      </c>
    </row>
    <row r="7" spans="1:13" x14ac:dyDescent="0.25">
      <c r="A7" s="14" t="s">
        <v>42</v>
      </c>
      <c r="B7" s="18" t="s">
        <v>43</v>
      </c>
      <c r="C7" s="18" t="s">
        <v>44</v>
      </c>
      <c r="D7" s="12">
        <v>200</v>
      </c>
      <c r="E7" s="12">
        <v>45</v>
      </c>
      <c r="F7" s="18" t="s">
        <v>26</v>
      </c>
      <c r="G7" s="19" t="str">
        <f t="shared" si="0"/>
        <v>Standard Price</v>
      </c>
      <c r="H7" s="10" t="str">
        <f t="shared" si="1"/>
        <v>07</v>
      </c>
      <c r="I7" s="19" t="str">
        <f t="shared" si="2"/>
        <v>UK</v>
      </c>
      <c r="J7" s="19" t="str">
        <f t="shared" si="3"/>
        <v>JUN</v>
      </c>
      <c r="L7" s="15" t="s">
        <v>114</v>
      </c>
      <c r="M7" s="16">
        <f>MAX(D2:D35)</f>
        <v>1000</v>
      </c>
    </row>
    <row r="8" spans="1:13" x14ac:dyDescent="0.25">
      <c r="A8" s="13" t="s">
        <v>45</v>
      </c>
      <c r="B8" s="17" t="s">
        <v>46</v>
      </c>
      <c r="C8" s="17" t="s">
        <v>47</v>
      </c>
      <c r="D8" s="11">
        <v>30</v>
      </c>
      <c r="E8" s="11">
        <v>5</v>
      </c>
      <c r="F8" s="17" t="s">
        <v>30</v>
      </c>
      <c r="G8" s="19" t="str">
        <f t="shared" si="0"/>
        <v>Standard Price</v>
      </c>
      <c r="H8" s="10" t="str">
        <f t="shared" si="1"/>
        <v>19</v>
      </c>
      <c r="I8" s="19" t="str">
        <f t="shared" si="2"/>
        <v>UK</v>
      </c>
      <c r="J8" s="19" t="str">
        <f t="shared" si="3"/>
        <v>JUL</v>
      </c>
      <c r="L8" s="15" t="s">
        <v>115</v>
      </c>
      <c r="M8" s="16">
        <f>SUMIF(F2:F35, "Electronics", D2:D35)</f>
        <v>8050</v>
      </c>
    </row>
    <row r="9" spans="1:13" x14ac:dyDescent="0.25">
      <c r="A9" s="14" t="s">
        <v>48</v>
      </c>
      <c r="B9" s="18" t="s">
        <v>49</v>
      </c>
      <c r="C9" s="18" t="s">
        <v>50</v>
      </c>
      <c r="D9" s="12">
        <v>90</v>
      </c>
      <c r="E9" s="12">
        <v>35</v>
      </c>
      <c r="F9" s="18" t="s">
        <v>34</v>
      </c>
      <c r="G9" s="19" t="str">
        <f t="shared" si="0"/>
        <v>Standard Price</v>
      </c>
      <c r="H9" s="10" t="str">
        <f t="shared" si="1"/>
        <v>23</v>
      </c>
      <c r="I9" s="19" t="str">
        <f t="shared" si="2"/>
        <v>UK</v>
      </c>
      <c r="J9" s="19" t="str">
        <f t="shared" si="3"/>
        <v>AUG</v>
      </c>
      <c r="L9" s="15" t="s">
        <v>116</v>
      </c>
      <c r="M9" s="16">
        <f>COUNTIF(D2:D35,"&lt;100")</f>
        <v>11</v>
      </c>
    </row>
    <row r="10" spans="1:13" x14ac:dyDescent="0.25">
      <c r="A10" s="13" t="s">
        <v>51</v>
      </c>
      <c r="B10" s="17" t="s">
        <v>52</v>
      </c>
      <c r="C10" s="17" t="s">
        <v>53</v>
      </c>
      <c r="D10" s="11">
        <v>500</v>
      </c>
      <c r="E10" s="11">
        <v>50</v>
      </c>
      <c r="F10" s="17" t="s">
        <v>26</v>
      </c>
      <c r="G10" s="19" t="str">
        <f t="shared" si="0"/>
        <v>High Price</v>
      </c>
      <c r="H10" s="10" t="str">
        <f t="shared" si="1"/>
        <v>05</v>
      </c>
      <c r="I10" s="19" t="str">
        <f t="shared" si="2"/>
        <v>UK</v>
      </c>
      <c r="J10" s="19" t="str">
        <f t="shared" si="3"/>
        <v>SEP</v>
      </c>
    </row>
    <row r="11" spans="1:13" x14ac:dyDescent="0.25">
      <c r="A11" s="14" t="s">
        <v>54</v>
      </c>
      <c r="B11" s="18" t="s">
        <v>55</v>
      </c>
      <c r="C11" s="18" t="s">
        <v>56</v>
      </c>
      <c r="D11" s="12">
        <v>130</v>
      </c>
      <c r="E11" s="12">
        <v>10</v>
      </c>
      <c r="F11" s="18" t="s">
        <v>41</v>
      </c>
      <c r="G11" s="19" t="str">
        <f t="shared" si="0"/>
        <v>Standard Price</v>
      </c>
      <c r="H11" s="10" t="str">
        <f t="shared" si="1"/>
        <v>14</v>
      </c>
      <c r="I11" s="19" t="str">
        <f t="shared" si="2"/>
        <v>UK</v>
      </c>
      <c r="J11" s="19" t="str">
        <f t="shared" si="3"/>
        <v>OCT</v>
      </c>
    </row>
    <row r="12" spans="1:13" x14ac:dyDescent="0.25">
      <c r="A12" s="13" t="s">
        <v>57</v>
      </c>
      <c r="B12" s="17" t="s">
        <v>24</v>
      </c>
      <c r="C12" s="17" t="s">
        <v>58</v>
      </c>
      <c r="D12" s="11">
        <v>950</v>
      </c>
      <c r="E12" s="11">
        <v>25</v>
      </c>
      <c r="F12" s="17" t="s">
        <v>26</v>
      </c>
      <c r="G12" s="19" t="str">
        <f t="shared" si="0"/>
        <v>High Price</v>
      </c>
      <c r="H12" s="10" t="str">
        <f t="shared" si="1"/>
        <v>17</v>
      </c>
      <c r="I12" s="19" t="str">
        <f t="shared" si="2"/>
        <v>IN</v>
      </c>
      <c r="J12" s="19" t="str">
        <f t="shared" si="3"/>
        <v>JUN</v>
      </c>
    </row>
    <row r="13" spans="1:13" x14ac:dyDescent="0.25">
      <c r="A13" s="14" t="s">
        <v>59</v>
      </c>
      <c r="B13" s="18" t="s">
        <v>28</v>
      </c>
      <c r="C13" s="18" t="s">
        <v>47</v>
      </c>
      <c r="D13" s="12">
        <v>90</v>
      </c>
      <c r="E13" s="12">
        <v>40</v>
      </c>
      <c r="F13" s="18" t="s">
        <v>30</v>
      </c>
      <c r="G13" s="19" t="str">
        <f t="shared" si="0"/>
        <v>Standard Price</v>
      </c>
      <c r="H13" s="10" t="str">
        <f t="shared" si="1"/>
        <v>25</v>
      </c>
      <c r="I13" s="19" t="str">
        <f t="shared" si="2"/>
        <v>AU</v>
      </c>
      <c r="J13" s="19" t="str">
        <f t="shared" si="3"/>
        <v>NOV</v>
      </c>
    </row>
    <row r="14" spans="1:13" x14ac:dyDescent="0.25">
      <c r="A14" s="13" t="s">
        <v>60</v>
      </c>
      <c r="B14" s="17" t="s">
        <v>32</v>
      </c>
      <c r="C14" s="17" t="s">
        <v>61</v>
      </c>
      <c r="D14" s="11">
        <v>120</v>
      </c>
      <c r="E14" s="11">
        <v>35</v>
      </c>
      <c r="F14" s="17" t="s">
        <v>34</v>
      </c>
      <c r="G14" s="19" t="str">
        <f t="shared" si="0"/>
        <v>Standard Price</v>
      </c>
      <c r="H14" s="10" t="str">
        <f t="shared" si="1"/>
        <v>08</v>
      </c>
      <c r="I14" s="19" t="str">
        <f t="shared" si="2"/>
        <v>DE</v>
      </c>
      <c r="J14" s="19" t="str">
        <f t="shared" si="3"/>
        <v>DEC</v>
      </c>
    </row>
    <row r="15" spans="1:13" x14ac:dyDescent="0.25">
      <c r="A15" s="14" t="s">
        <v>62</v>
      </c>
      <c r="B15" s="18" t="s">
        <v>63</v>
      </c>
      <c r="C15" s="18" t="s">
        <v>64</v>
      </c>
      <c r="D15" s="12">
        <v>150</v>
      </c>
      <c r="E15" s="12">
        <v>15</v>
      </c>
      <c r="F15" s="18" t="s">
        <v>26</v>
      </c>
      <c r="G15" s="19" t="str">
        <f t="shared" si="0"/>
        <v>Standard Price</v>
      </c>
      <c r="H15" s="10" t="str">
        <f t="shared" si="1"/>
        <v>18</v>
      </c>
      <c r="I15" s="19" t="str">
        <f t="shared" si="2"/>
        <v>CA</v>
      </c>
      <c r="J15" s="19" t="str">
        <f t="shared" si="3"/>
        <v>FEB</v>
      </c>
    </row>
    <row r="16" spans="1:13" x14ac:dyDescent="0.25">
      <c r="A16" s="13" t="s">
        <v>65</v>
      </c>
      <c r="B16" s="17" t="s">
        <v>43</v>
      </c>
      <c r="C16" s="17" t="s">
        <v>66</v>
      </c>
      <c r="D16" s="11">
        <v>250</v>
      </c>
      <c r="E16" s="11">
        <v>20</v>
      </c>
      <c r="F16" s="17" t="s">
        <v>26</v>
      </c>
      <c r="G16" s="19" t="str">
        <f t="shared" si="0"/>
        <v>Standard Price</v>
      </c>
      <c r="H16" s="10" t="str">
        <f t="shared" si="1"/>
        <v>16</v>
      </c>
      <c r="I16" s="19" t="str">
        <f t="shared" si="2"/>
        <v>ES</v>
      </c>
      <c r="J16" s="19" t="str">
        <f t="shared" si="3"/>
        <v>APR</v>
      </c>
    </row>
    <row r="17" spans="1:10" x14ac:dyDescent="0.25">
      <c r="A17" s="14" t="s">
        <v>67</v>
      </c>
      <c r="B17" s="18" t="s">
        <v>68</v>
      </c>
      <c r="C17" s="18" t="s">
        <v>69</v>
      </c>
      <c r="D17" s="12">
        <v>50</v>
      </c>
      <c r="E17" s="12">
        <v>35</v>
      </c>
      <c r="F17" s="18" t="s">
        <v>70</v>
      </c>
      <c r="G17" s="19" t="str">
        <f t="shared" si="0"/>
        <v>Standard Price</v>
      </c>
      <c r="H17" s="10" t="str">
        <f t="shared" si="1"/>
        <v>21</v>
      </c>
      <c r="I17" s="19" t="str">
        <f t="shared" si="2"/>
        <v>CA</v>
      </c>
      <c r="J17" s="19" t="str">
        <f t="shared" si="3"/>
        <v>AUG</v>
      </c>
    </row>
    <row r="18" spans="1:10" x14ac:dyDescent="0.25">
      <c r="A18" s="13" t="s">
        <v>71</v>
      </c>
      <c r="B18" s="17" t="s">
        <v>63</v>
      </c>
      <c r="C18" s="17" t="s">
        <v>72</v>
      </c>
      <c r="D18" s="11">
        <v>160</v>
      </c>
      <c r="E18" s="11">
        <v>15</v>
      </c>
      <c r="F18" s="17" t="s">
        <v>26</v>
      </c>
      <c r="G18" s="19" t="str">
        <f t="shared" si="0"/>
        <v>Standard Price</v>
      </c>
      <c r="H18" s="10" t="str">
        <f t="shared" si="1"/>
        <v>20</v>
      </c>
      <c r="I18" s="19" t="str">
        <f t="shared" si="2"/>
        <v>CN</v>
      </c>
      <c r="J18" s="19" t="str">
        <f t="shared" si="3"/>
        <v>AUG</v>
      </c>
    </row>
    <row r="19" spans="1:10" x14ac:dyDescent="0.25">
      <c r="A19" s="14" t="s">
        <v>73</v>
      </c>
      <c r="B19" s="18" t="s">
        <v>24</v>
      </c>
      <c r="C19" s="18" t="s">
        <v>74</v>
      </c>
      <c r="D19" s="12">
        <v>980</v>
      </c>
      <c r="E19" s="12">
        <v>10</v>
      </c>
      <c r="F19" s="18" t="s">
        <v>26</v>
      </c>
      <c r="G19" s="19" t="str">
        <f t="shared" si="0"/>
        <v>High Price</v>
      </c>
      <c r="H19" s="10" t="str">
        <f t="shared" si="1"/>
        <v>27</v>
      </c>
      <c r="I19" s="19" t="str">
        <f t="shared" si="2"/>
        <v>IT</v>
      </c>
      <c r="J19" s="19" t="str">
        <f t="shared" si="3"/>
        <v>JAN</v>
      </c>
    </row>
    <row r="20" spans="1:10" x14ac:dyDescent="0.25">
      <c r="A20" s="13" t="s">
        <v>75</v>
      </c>
      <c r="B20" s="17" t="s">
        <v>76</v>
      </c>
      <c r="C20" s="17" t="s">
        <v>77</v>
      </c>
      <c r="D20" s="11">
        <v>150</v>
      </c>
      <c r="E20" s="11">
        <v>15</v>
      </c>
      <c r="F20" s="17" t="s">
        <v>30</v>
      </c>
      <c r="G20" s="19" t="str">
        <f t="shared" si="0"/>
        <v>Standard Price</v>
      </c>
      <c r="H20" s="10" t="str">
        <f t="shared" si="1"/>
        <v>01</v>
      </c>
      <c r="I20" s="19" t="str">
        <f t="shared" si="2"/>
        <v>UK</v>
      </c>
      <c r="J20" s="19" t="str">
        <f t="shared" si="3"/>
        <v>MAR</v>
      </c>
    </row>
    <row r="21" spans="1:10" x14ac:dyDescent="0.25">
      <c r="A21" s="14" t="s">
        <v>78</v>
      </c>
      <c r="B21" s="18" t="s">
        <v>79</v>
      </c>
      <c r="C21" s="18" t="s">
        <v>80</v>
      </c>
      <c r="D21" s="12">
        <v>200</v>
      </c>
      <c r="E21" s="12">
        <v>10</v>
      </c>
      <c r="F21" s="18" t="s">
        <v>41</v>
      </c>
      <c r="G21" s="19" t="str">
        <f t="shared" si="0"/>
        <v>Standard Price</v>
      </c>
      <c r="H21" s="10" t="str">
        <f t="shared" si="1"/>
        <v>14</v>
      </c>
      <c r="I21" s="19" t="str">
        <f t="shared" si="2"/>
        <v>US</v>
      </c>
      <c r="J21" s="19" t="str">
        <f t="shared" si="3"/>
        <v>AUG</v>
      </c>
    </row>
    <row r="22" spans="1:10" x14ac:dyDescent="0.25">
      <c r="A22" s="13" t="s">
        <v>81</v>
      </c>
      <c r="B22" s="17" t="s">
        <v>82</v>
      </c>
      <c r="C22" s="17" t="s">
        <v>83</v>
      </c>
      <c r="D22" s="11">
        <v>700</v>
      </c>
      <c r="E22" s="11">
        <v>50</v>
      </c>
      <c r="F22" s="17" t="s">
        <v>26</v>
      </c>
      <c r="G22" s="19" t="str">
        <f t="shared" si="0"/>
        <v>High Price</v>
      </c>
      <c r="H22" s="10" t="str">
        <f t="shared" si="1"/>
        <v>14</v>
      </c>
      <c r="I22" s="19" t="str">
        <f t="shared" si="2"/>
        <v>RU</v>
      </c>
      <c r="J22" s="19" t="str">
        <f t="shared" si="3"/>
        <v>MAY</v>
      </c>
    </row>
    <row r="23" spans="1:10" x14ac:dyDescent="0.25">
      <c r="A23" s="14" t="s">
        <v>84</v>
      </c>
      <c r="B23" s="18" t="s">
        <v>85</v>
      </c>
      <c r="C23" s="18" t="s">
        <v>86</v>
      </c>
      <c r="D23" s="12">
        <v>80</v>
      </c>
      <c r="E23" s="12">
        <v>20</v>
      </c>
      <c r="F23" s="18" t="s">
        <v>34</v>
      </c>
      <c r="G23" s="19" t="str">
        <f t="shared" si="0"/>
        <v>Standard Price</v>
      </c>
      <c r="H23" s="10" t="str">
        <f t="shared" si="1"/>
        <v>09</v>
      </c>
      <c r="I23" s="19" t="str">
        <f t="shared" si="2"/>
        <v>CA</v>
      </c>
      <c r="J23" s="19" t="str">
        <f t="shared" si="3"/>
        <v>JAN</v>
      </c>
    </row>
    <row r="24" spans="1:10" x14ac:dyDescent="0.25">
      <c r="A24" s="13" t="s">
        <v>87</v>
      </c>
      <c r="B24" s="17" t="s">
        <v>88</v>
      </c>
      <c r="C24" s="17" t="s">
        <v>89</v>
      </c>
      <c r="D24" s="11">
        <v>150</v>
      </c>
      <c r="E24" s="11">
        <v>30</v>
      </c>
      <c r="F24" s="17" t="s">
        <v>26</v>
      </c>
      <c r="G24" s="19" t="str">
        <f t="shared" si="0"/>
        <v>Standard Price</v>
      </c>
      <c r="H24" s="10" t="str">
        <f t="shared" si="1"/>
        <v>19</v>
      </c>
      <c r="I24" s="19" t="str">
        <f t="shared" si="2"/>
        <v>BR</v>
      </c>
      <c r="J24" s="19" t="str">
        <f t="shared" si="3"/>
        <v>JUL</v>
      </c>
    </row>
    <row r="25" spans="1:10" x14ac:dyDescent="0.25">
      <c r="A25" s="14" t="s">
        <v>67</v>
      </c>
      <c r="B25" s="18" t="s">
        <v>68</v>
      </c>
      <c r="C25" s="18" t="s">
        <v>69</v>
      </c>
      <c r="D25" s="12">
        <v>50</v>
      </c>
      <c r="E25" s="12">
        <v>35</v>
      </c>
      <c r="F25" s="18" t="s">
        <v>70</v>
      </c>
      <c r="G25" s="19" t="str">
        <f t="shared" si="0"/>
        <v>Standard Price</v>
      </c>
      <c r="H25" s="10" t="str">
        <f t="shared" si="1"/>
        <v>21</v>
      </c>
      <c r="I25" s="19" t="str">
        <f t="shared" si="2"/>
        <v>CA</v>
      </c>
      <c r="J25" s="19" t="str">
        <f t="shared" si="3"/>
        <v>AUG</v>
      </c>
    </row>
    <row r="26" spans="1:10" x14ac:dyDescent="0.25">
      <c r="A26" s="13" t="s">
        <v>90</v>
      </c>
      <c r="B26" s="17" t="s">
        <v>36</v>
      </c>
      <c r="C26" s="17" t="s">
        <v>91</v>
      </c>
      <c r="D26" s="11">
        <v>800</v>
      </c>
      <c r="E26" s="11">
        <v>45</v>
      </c>
      <c r="F26" s="17" t="s">
        <v>26</v>
      </c>
      <c r="G26" s="19" t="str">
        <f t="shared" si="0"/>
        <v>High Price</v>
      </c>
      <c r="H26" s="10" t="str">
        <f t="shared" si="1"/>
        <v>29</v>
      </c>
      <c r="I26" s="19" t="str">
        <f t="shared" si="2"/>
        <v>CA</v>
      </c>
      <c r="J26" s="19" t="str">
        <f t="shared" si="3"/>
        <v>SEP</v>
      </c>
    </row>
    <row r="27" spans="1:10" x14ac:dyDescent="0.25">
      <c r="A27" s="14" t="s">
        <v>92</v>
      </c>
      <c r="B27" s="18" t="s">
        <v>76</v>
      </c>
      <c r="C27" s="18" t="s">
        <v>93</v>
      </c>
      <c r="D27" s="12">
        <v>130</v>
      </c>
      <c r="E27" s="12">
        <v>25</v>
      </c>
      <c r="F27" s="18" t="s">
        <v>30</v>
      </c>
      <c r="G27" s="19" t="str">
        <f t="shared" si="0"/>
        <v>Standard Price</v>
      </c>
      <c r="H27" s="10" t="str">
        <f t="shared" si="1"/>
        <v>03</v>
      </c>
      <c r="I27" s="19" t="str">
        <f t="shared" si="2"/>
        <v>CA</v>
      </c>
      <c r="J27" s="19" t="str">
        <f t="shared" si="3"/>
        <v>JUN</v>
      </c>
    </row>
    <row r="28" spans="1:10" x14ac:dyDescent="0.25">
      <c r="A28" s="13" t="s">
        <v>94</v>
      </c>
      <c r="B28" s="17" t="s">
        <v>49</v>
      </c>
      <c r="C28" s="17" t="s">
        <v>95</v>
      </c>
      <c r="D28" s="11">
        <v>400</v>
      </c>
      <c r="E28" s="11">
        <v>40</v>
      </c>
      <c r="F28" s="17" t="s">
        <v>34</v>
      </c>
      <c r="G28" s="19" t="str">
        <f t="shared" si="0"/>
        <v>Standard Price</v>
      </c>
      <c r="H28" s="10" t="str">
        <f t="shared" si="1"/>
        <v>11</v>
      </c>
      <c r="I28" s="19" t="str">
        <f t="shared" si="2"/>
        <v>CA</v>
      </c>
      <c r="J28" s="19" t="str">
        <f t="shared" si="3"/>
        <v>JUL</v>
      </c>
    </row>
    <row r="29" spans="1:10" x14ac:dyDescent="0.25">
      <c r="A29" s="14" t="s">
        <v>65</v>
      </c>
      <c r="B29" s="18" t="s">
        <v>43</v>
      </c>
      <c r="C29" s="18" t="s">
        <v>66</v>
      </c>
      <c r="D29" s="12">
        <v>230</v>
      </c>
      <c r="E29" s="12">
        <v>20</v>
      </c>
      <c r="F29" s="18" t="s">
        <v>26</v>
      </c>
      <c r="G29" s="19" t="str">
        <f t="shared" si="0"/>
        <v>Standard Price</v>
      </c>
      <c r="H29" s="10" t="str">
        <f t="shared" si="1"/>
        <v>16</v>
      </c>
      <c r="I29" s="19" t="str">
        <f t="shared" si="2"/>
        <v>ES</v>
      </c>
      <c r="J29" s="19" t="str">
        <f t="shared" si="3"/>
        <v>APR</v>
      </c>
    </row>
    <row r="30" spans="1:10" x14ac:dyDescent="0.25">
      <c r="A30" s="13" t="s">
        <v>96</v>
      </c>
      <c r="B30" s="17" t="s">
        <v>97</v>
      </c>
      <c r="C30" s="17" t="s">
        <v>98</v>
      </c>
      <c r="D30" s="11">
        <v>60</v>
      </c>
      <c r="E30" s="11">
        <v>30</v>
      </c>
      <c r="F30" s="17" t="s">
        <v>30</v>
      </c>
      <c r="G30" s="19" t="str">
        <f t="shared" si="0"/>
        <v>Standard Price</v>
      </c>
      <c r="H30" s="10" t="str">
        <f t="shared" si="1"/>
        <v>07</v>
      </c>
      <c r="I30" s="19" t="str">
        <f t="shared" si="2"/>
        <v>CA</v>
      </c>
      <c r="J30" s="19" t="str">
        <f t="shared" si="3"/>
        <v>MAR</v>
      </c>
    </row>
    <row r="31" spans="1:10" x14ac:dyDescent="0.25">
      <c r="A31" s="14" t="s">
        <v>99</v>
      </c>
      <c r="B31" s="18" t="s">
        <v>100</v>
      </c>
      <c r="C31" s="18" t="s">
        <v>101</v>
      </c>
      <c r="D31" s="12">
        <v>40</v>
      </c>
      <c r="E31" s="12">
        <v>10</v>
      </c>
      <c r="F31" s="18" t="s">
        <v>34</v>
      </c>
      <c r="G31" s="19" t="str">
        <f t="shared" si="0"/>
        <v>Standard Price</v>
      </c>
      <c r="H31" s="10" t="str">
        <f t="shared" si="1"/>
        <v>13</v>
      </c>
      <c r="I31" s="19" t="str">
        <f t="shared" si="2"/>
        <v>CA</v>
      </c>
      <c r="J31" s="19" t="str">
        <f t="shared" si="3"/>
        <v>APR</v>
      </c>
    </row>
    <row r="32" spans="1:10" x14ac:dyDescent="0.25">
      <c r="A32" s="13" t="s">
        <v>102</v>
      </c>
      <c r="B32" s="17" t="s">
        <v>88</v>
      </c>
      <c r="C32" s="17" t="s">
        <v>103</v>
      </c>
      <c r="D32" s="11">
        <v>130</v>
      </c>
      <c r="E32" s="11">
        <v>5</v>
      </c>
      <c r="F32" s="17" t="s">
        <v>26</v>
      </c>
      <c r="G32" s="19" t="str">
        <f t="shared" si="0"/>
        <v>Standard Price</v>
      </c>
      <c r="H32" s="10" t="str">
        <f t="shared" si="1"/>
        <v>24</v>
      </c>
      <c r="I32" s="19" t="str">
        <f t="shared" si="2"/>
        <v>CA</v>
      </c>
      <c r="J32" s="19" t="str">
        <f t="shared" si="3"/>
        <v>MAY</v>
      </c>
    </row>
    <row r="33" spans="1:10" x14ac:dyDescent="0.25">
      <c r="A33" s="14" t="s">
        <v>104</v>
      </c>
      <c r="B33" s="18" t="s">
        <v>105</v>
      </c>
      <c r="C33" s="18" t="s">
        <v>106</v>
      </c>
      <c r="D33" s="12">
        <v>50</v>
      </c>
      <c r="E33" s="12">
        <v>50</v>
      </c>
      <c r="F33" s="18" t="s">
        <v>30</v>
      </c>
      <c r="G33" s="19" t="str">
        <f t="shared" si="0"/>
        <v>Standard Price</v>
      </c>
      <c r="H33" s="10" t="str">
        <f t="shared" si="1"/>
        <v>02</v>
      </c>
      <c r="I33" s="19" t="str">
        <f t="shared" si="2"/>
        <v>CA</v>
      </c>
      <c r="J33" s="19" t="str">
        <f t="shared" si="3"/>
        <v>DEC</v>
      </c>
    </row>
    <row r="34" spans="1:10" x14ac:dyDescent="0.25">
      <c r="A34" s="13" t="s">
        <v>57</v>
      </c>
      <c r="B34" s="17" t="s">
        <v>24</v>
      </c>
      <c r="C34" s="17" t="s">
        <v>58</v>
      </c>
      <c r="D34" s="11">
        <v>950</v>
      </c>
      <c r="E34" s="11">
        <v>25</v>
      </c>
      <c r="F34" s="17" t="s">
        <v>26</v>
      </c>
      <c r="G34" s="19" t="str">
        <f t="shared" si="0"/>
        <v>High Price</v>
      </c>
      <c r="H34" s="10" t="str">
        <f t="shared" si="1"/>
        <v>17</v>
      </c>
      <c r="I34" s="19" t="str">
        <f t="shared" si="2"/>
        <v>IN</v>
      </c>
      <c r="J34" s="19" t="str">
        <f t="shared" si="3"/>
        <v>JUN</v>
      </c>
    </row>
    <row r="35" spans="1:10" x14ac:dyDescent="0.25">
      <c r="A35" s="14" t="s">
        <v>107</v>
      </c>
      <c r="B35" s="18" t="s">
        <v>108</v>
      </c>
      <c r="C35" s="18" t="s">
        <v>109</v>
      </c>
      <c r="D35" s="12">
        <v>100</v>
      </c>
      <c r="E35" s="12">
        <v>20</v>
      </c>
      <c r="F35" s="18" t="s">
        <v>70</v>
      </c>
      <c r="G35" s="19" t="str">
        <f t="shared" si="0"/>
        <v>Standard Price</v>
      </c>
      <c r="H35" s="10" t="str">
        <f t="shared" si="1"/>
        <v>09</v>
      </c>
      <c r="I35" s="19" t="str">
        <f t="shared" si="2"/>
        <v>FR</v>
      </c>
      <c r="J35" s="19" t="str">
        <f t="shared" si="3"/>
        <v>JUL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Dataset</vt:lpstr>
      <vt:lpstr>Solution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HAIBIN</dc:creator>
  <cp:lastModifiedBy>haibin benny</cp:lastModifiedBy>
  <dcterms:created xsi:type="dcterms:W3CDTF">2026-09-25T09:39:09Z</dcterms:created>
  <dcterms:modified xsi:type="dcterms:W3CDTF">2026-09-25T09:39:09Z</dcterms:modified>
</cp:coreProperties>
</file>